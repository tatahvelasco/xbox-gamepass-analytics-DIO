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tah\Documents\Estudos\Santander Excel\"/>
    </mc:Choice>
  </mc:AlternateContent>
  <xr:revisionPtr revIDLastSave="0" documentId="13_ncr:1_{E0F358FB-ACD1-43B2-8F4B-280890981BB4}" xr6:coauthVersionLast="47" xr6:coauthVersionMax="47" xr10:uidLastSave="{00000000-0000-0000-0000-000000000000}"/>
  <bookViews>
    <workbookView xWindow="7305" yWindow="15" windowWidth="16080" windowHeight="1371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<sst xmlns="http://schemas.openxmlformats.org/spreadsheetml/2006/main" count="2021" uniqueCount="323">
  <si>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</si>
  <si>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</si>
  <si>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</si>
  <si>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</si>
  <si>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</si>
  <si>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</si>
  <si>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</si>
  <si>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</si>
  <si>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</si>
  <si>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</si>
  <si>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</si>
  <si>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</si>
  <si>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</si>
  <si>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</si>
  <si>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</si>
  <si>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</si>
  <si>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</si>
  <si>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</si>
  <si>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</si>
  <si>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</si>
  <si>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</si>
  <si>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</si>
  <si>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</si>
  <si>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</si>
  <si>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</si>
  <si>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</si>
  <si>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</si>
  <si>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</si>
  <si>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</si>
  <si>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</si>
  <si>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</si>
  <si>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</si>
  <si>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</si>
  <si>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</si>
  <si>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</si>
  <si>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</si>
  <si>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</si>
  <si>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</si>
  <si>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</si>
  <si>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</si>
  <si>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</si>
  <si>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</si>
  <si>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</si>
  <si>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</si>
  <si>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</si>
  <si>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</si>
  <si>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</si>
  <si>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</si>
  <si>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</si>
  <si>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</si>
  <si>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</si>
  <si>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</si>
  <si>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</si>
  <si>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</si>
  <si>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</si>
  <si>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</si>
  <si>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</si>
  <si>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</si>
  <si>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</si>
  <si>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</si>
  <si>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</si>
  <si>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</si>
  <si>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</si>
  <si>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</si>
  <si>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</si>
  <si>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</si>
  <si>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</si>
  <si>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</si>
  <si>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</si>
  <si>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</si>
  <si>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</si>
  <si>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</si>
  <si>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</si>
  <si>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</si>
  <si>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</si>
  <si>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</si>
  <si>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</si>
  <si>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</si>
  <si>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</si>
  <si>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</si>
  <si>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</si>
  <si>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</si>
  <si>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</si>
  <si>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</si>
  <si>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</si>
  <si>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</si>
  <si>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</si>
  <si>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</si>
  <si>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</si>
  <si>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</si>
  <si>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</si>
  <si>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</si>
  <si>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</si>
  <si>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</si>
  <si>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</si>
  <si>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</si>
  <si>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</si>
  <si>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</si>
  <si>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</si>
  <si>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</si>
  <si>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</si>
  <si>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</si>
  <si>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</si>
  <si>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</si>
  <si>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</si>
  <si>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</si>
  <si>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</si>
  <si>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</si>
  <si>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</si>
  <si>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</si>
  <si>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</si>
  <si>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</si>
  <si>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</si>
  <si>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</si>
  <si>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</si>
  <si>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</si>
  <si>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</si>
  <si>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</si>
  <si>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</si>
  <si>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</si>
  <si>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</si>
  <si>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</si>
  <si>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</si>
  <si>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</si>
  <si>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</si>
  <si>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</si>
  <si>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</si>
  <si>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</si>
  <si>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</si>
  <si>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</si>
  <si>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</si>
  <si>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</si>
  <si>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</si>
  <si>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</si>
  <si>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</si>
  <si>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</si>
  <si>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</si>
  <si>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</si>
  <si>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</si>
  <si>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</si>
  <si>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</si>
  <si>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</si>
  <si>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</si>
  <si>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</si>
  <si>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</si>
  <si>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</si>
  <si>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</si>
  <si>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</si>
  <si>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</si>
  <si>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</si>
  <si>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</si>
  <si>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</si>
  <si>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</si>
  <si>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</si>
  <si>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</si>
  <si>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</si>
  <si>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</si>
  <si>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</si>
  <si>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</si>
  <si>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</si>
  <si>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</si>
  <si>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</si>
  <si>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</si>
  <si>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</si>
  <si>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</si>
  <si>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</si>
  <si>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</si>
  <si>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</si>
  <si>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</si>
  <si>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</si>
  <si>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</si>
  <si>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</si>
  <si>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</si>
  <si>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</si>
  <si>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</si>
  <si>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</si>
  <si>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</si>
  <si>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</si>
  <si>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</si>
  <si>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</si>
  <si>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</si>
  <si>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</si>
  <si>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</si>
  <si>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</si>
  <si>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</si>
  <si>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</si>
  <si>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</si>
  <si>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</si>
  <si>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</si>
  <si>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</si>
  <si>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</si>
  <si>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</si>
  <si>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</si>
  <si>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</si>
  <si>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</si>
  <si>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</si>
  <si>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</si>
  <si>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</si>
  <si>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</si>
  <si>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</si>
  <si>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</si>
  <si>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</si>
  <si>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</si>
  <si>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</si>
  <si>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</si>
  <si>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</si>
  <si>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</si>
  <si>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</si>
  <si>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</si>
  <si>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</si>
  <si>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</si>
  <si>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</si>
  <si>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</si>
  <si>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</si>
  <si>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</si>
  <si>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</si>
  <si>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</si>
  <si>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</si>
  <si>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</si>
  <si>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</si>
  <si>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</si>
  <si>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</si>
  <si>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</si>
  <si>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</si>
  <si>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</si>
  <si>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</si>
  <si>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</si>
  <si>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</si>
  <si>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</si>
  <si>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</si>
  <si>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</si>
  <si>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</si>
  <si>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</si>
  <si>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</si>
  <si>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</si>
  <si>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</si>
  <si>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</si>
  <si>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</si>
  <si>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</si>
  <si>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</si>
  <si>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</si>
  <si>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</si>
  <si>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</si>
  <si>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</si>
  <si>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</si>
  <si>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</si>
  <si>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</si>
  <si>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</si>
  <si>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</si>
  <si>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</si>
  <si>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</si>
  <si>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</si>
  <si>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</si>
  <si>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</si>
  <si>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</si>
  <si>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</si>
  <si>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</si>
  <si>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</si>
  <si>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</si>
  <si>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</si>
  <si>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</si>
  <si>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</si>
  <si>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</si>
  <si>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</si>
  <si>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</si>
  <si>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</si>
  <si>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</si>
  <si>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</si>
  <si>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</si>
  <si>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</si>
  <si>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</si>
  <si>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</si>
  <si>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</si>
  <si>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</si>
  <si>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</si>
  <si>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</si>
  <si>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</si>
  <si>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</si>
  <si>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</si>
  <si>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</si>
  <si>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</si>
  <si>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</si>
  <si>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</si>
  <si>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</si>
  <si>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</si>
  <si>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</si>
  <si>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</si>
  <si>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</si>
  <si>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</si>
  <si>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</si>
  <si>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</si>
  <si>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</si>
  <si>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</si>
  <si>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</si>
  <si>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</si>
  <si>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</si>
  <si>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</si>
  <si>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</si>
  <si>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</si>
  <si>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</si>
  <si>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</si>
  <si>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</si>
  <si>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</si>
  <si>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</si>
  <si>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</si>
  <si>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</si>
  <si>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</si>
  <si>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</si>
  <si>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</si>
  <si>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</si>
  <si>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</si>
  <si>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#E8E6E9</t>
  </si>
  <si>
    <t>#9BC848</t>
  </si>
  <si>
    <t>#22C55E</t>
  </si>
  <si>
    <t>#2AE6B1</t>
  </si>
  <si>
    <t>#5BF6A8</t>
  </si>
  <si>
    <t>XBOX GAME PASS SUBSCRIPTIONS SALES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</si>
  <si>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e não é auto renovação</t>
    </r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</si>
  <si>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</t>
    </r>
    <r>
      <rPr>
        <b/>
        <sz val="11"/>
        <color theme="1"/>
        <rFont val="Aptos Narrow"/>
        <family val="2"/>
        <scheme val="minor"/>
      </rPr>
      <t xml:space="preserve"> assinaturas agregadas</t>
    </r>
    <r>
      <rPr>
        <sz val="11"/>
        <color theme="1"/>
        <rFont val="Aptos Narrow"/>
        <family val="2"/>
        <scheme val="minor"/>
      </rPr>
      <t>)</t>
    </r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</si>
  <si>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</si>
  <si>
    <t>Soma de EA Play Season Pass</t>
  </si>
  <si>
    <t>Pergunta de Negócio 5 -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</si>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</sst>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199345"/>
      </bottom>
      <diagonal/>
    </border>
    <border>
      <left/>
      <right style="thick">
        <color rgb="FF199345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Font="1"/>
    <xf numFmtId="0" fontId="0" fillId="0" borderId="0" xfId="0" pivotButton="1" applyFont="1"/>
    <xf numFmtId="0" fontId="0" fillId="0" borderId="0" xfId="0" applyFont="1" applyAlignment="1">
      <alignment horizontal="left"/>
    </xf>
    <xf numFmtId="44" fontId="0" fillId="0" borderId="0" xfId="0" applyNumberFormat="1" applyFont="1"/>
    <xf numFmtId="0" fontId="0" fillId="0" borderId="0" xfId="0" applyNumberFormat="1" applyFont="1"/>
    <xf numFmtId="165" fontId="0" fillId="0" borderId="0" xfId="2" applyNumberFormat="1" applyFont="1"/>
    <xf numFmtId="0" fontId="4" fillId="0" borderId="2" xfId="1" applyFont="1" applyBorder="1" applyAlignment="1">
      <alignment horizontal="left" indent="6"/>
    </xf>
    <xf numFmtId="0" fontId="4" fillId="0" borderId="2" xfId="1" applyFont="1" applyBorder="1" applyAlignment="1">
      <alignment horizontal="left" indent="10"/>
    </xf>
    <xf numFmtId="0" fontId="0" fillId="0" borderId="2" xfId="0" applyBorder="1" applyAlignment="1">
      <alignment horizontal="left" indent="10"/>
    </xf>
    <xf numFmtId="0" fontId="0" fillId="4" borderId="3" xfId="0" applyFill="1" applyBorder="1"/>
  </cellXfs>
  <cellStyles count="3">
    <cellStyle name="Moeda" xfId="2" builtinId="4"/>
    <cellStyle name="Normal" xfId="0" builtinId="0"/>
    <cellStyle name="Título 1" xfId="1" builtinId="16"/>
  </cellStyles>
  <dxfs count="80"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B83D102-570D-4566-B0CF-6EC20C4690D1}">
      <tableStyleElement type="wholeTable" dxfId="65"/>
      <tableStyleElement type="headerRow" dxfId="64"/>
    </tableStyle>
  </tableStyles>
  <colors>
    <mruColors>
      <color rgb="FF199345"/>
      <color rgb="FF22C55E"/>
      <color rgb="FF2AE6B1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com IA - XBOX GAME PASS.xlsx]C̳álculos!tbl_annual_total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7644479320290442E-2"/>
          <c:y val="0.21431694609199509"/>
          <c:w val="0.93053836136964352"/>
          <c:h val="0.739054682362993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49-409E-A6E9-D381111793FD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49-409E-A6E9-D38111179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9-409E-A6E9-D38111179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377920"/>
        <c:axId val="1333375520"/>
      </c:barChart>
      <c:catAx>
        <c:axId val="133337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375520"/>
        <c:crosses val="autoZero"/>
        <c:auto val="1"/>
        <c:lblAlgn val="ctr"/>
        <c:lblOffset val="100"/>
        <c:noMultiLvlLbl val="0"/>
      </c:catAx>
      <c:valAx>
        <c:axId val="13333755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3337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342900</xdr:colOff>
      <xdr:row>23</xdr:row>
      <xdr:rowOff>9524</xdr:rowOff>
    </xdr:from>
    <xdr:to>
      <xdr:col>6</xdr:col>
      <xdr:colOff>63576</xdr:colOff>
      <xdr:row>27</xdr:row>
      <xdr:rowOff>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171700" y="454342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54429</xdr:colOff>
      <xdr:row>0</xdr:row>
      <xdr:rowOff>201917</xdr:rowOff>
    </xdr:from>
    <xdr:to>
      <xdr:col>2</xdr:col>
      <xdr:colOff>549388</xdr:colOff>
      <xdr:row>2</xdr:row>
      <xdr:rowOff>289152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CF1EEC-5ED6-4F1F-BF94-10870965A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7471" r="72359" b="16138"/>
        <a:stretch>
          <a:fillRect/>
        </a:stretch>
      </xdr:blipFill>
      <xdr:spPr>
        <a:xfrm>
          <a:off x="2081893" y="201917"/>
          <a:ext cx="739888" cy="862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13608</xdr:rowOff>
    </xdr:from>
    <xdr:to>
      <xdr:col>0</xdr:col>
      <xdr:colOff>1964530</xdr:colOff>
      <xdr:row>16</xdr:row>
      <xdr:rowOff>13608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BAD6535-12B1-4927-883C-C846CE4946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63537"/>
              <a:ext cx="196453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183696</xdr:colOff>
      <xdr:row>7</xdr:row>
      <xdr:rowOff>91848</xdr:rowOff>
    </xdr:from>
    <xdr:to>
      <xdr:col>10</xdr:col>
      <xdr:colOff>102056</xdr:colOff>
      <xdr:row>15</xdr:row>
      <xdr:rowOff>40822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9C9DFAE-43B2-BBDB-4958-A47AE8FF8675}"/>
            </a:ext>
          </a:extLst>
        </xdr:cNvPr>
        <xdr:cNvGrpSpPr/>
      </xdr:nvGrpSpPr>
      <xdr:grpSpPr>
        <a:xfrm>
          <a:off x="2456089" y="1629455"/>
          <a:ext cx="4816931" cy="1704296"/>
          <a:chOff x="2349103" y="1385887"/>
          <a:chExt cx="4695825" cy="170021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3AA5646-3291-AA9F-6A7B-DDBB86C3AE5A}"/>
              </a:ext>
            </a:extLst>
          </xdr:cNvPr>
          <xdr:cNvSpPr/>
        </xdr:nvSpPr>
        <xdr:spPr>
          <a:xfrm>
            <a:off x="2355055" y="1400175"/>
            <a:ext cx="4683919" cy="1685925"/>
          </a:xfrm>
          <a:prstGeom prst="roundRect">
            <a:avLst>
              <a:gd name="adj" fmla="val 886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EBE57C0-1AF7-473C-AAE4-5511D384C024}"/>
              </a:ext>
            </a:extLst>
          </xdr:cNvPr>
          <xdr:cNvSpPr/>
        </xdr:nvSpPr>
        <xdr:spPr>
          <a:xfrm>
            <a:off x="4029075" y="1738313"/>
            <a:ext cx="2843213" cy="1347787"/>
          </a:xfrm>
          <a:prstGeom prst="roundRect">
            <a:avLst>
              <a:gd name="adj" fmla="val 815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552F9C-9246-4110-BAAF-6A98CBA912F9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en-US" sz="3600" b="1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F9FC4CC-403F-4C7C-A9A0-5DDB2CCCB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1274" y="1801416"/>
            <a:ext cx="1223962" cy="1221581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9B674DB-0A33-E238-B473-A93B301AFB67}"/>
              </a:ext>
            </a:extLst>
          </xdr:cNvPr>
          <xdr:cNvSpPr/>
        </xdr:nvSpPr>
        <xdr:spPr>
          <a:xfrm>
            <a:off x="2349103" y="1385887"/>
            <a:ext cx="4695825" cy="376238"/>
          </a:xfrm>
          <a:prstGeom prst="round2SameRect">
            <a:avLst>
              <a:gd name="adj1" fmla="val 3730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SUBSCRIPTIONS</a:t>
            </a:r>
            <a:r>
              <a:rPr lang="pt-BR" sz="1200" b="1" baseline="0"/>
              <a:t> EA SEASON PASS</a:t>
            </a:r>
            <a:endParaRPr lang="pt-BR" sz="1200" b="1"/>
          </a:p>
        </xdr:txBody>
      </xdr:sp>
    </xdr:grpSp>
    <xdr:clientData/>
  </xdr:twoCellAnchor>
  <xdr:twoCellAnchor>
    <xdr:from>
      <xdr:col>10</xdr:col>
      <xdr:colOff>285747</xdr:colOff>
      <xdr:row>7</xdr:row>
      <xdr:rowOff>91848</xdr:rowOff>
    </xdr:from>
    <xdr:to>
      <xdr:col>18</xdr:col>
      <xdr:colOff>381000</xdr:colOff>
      <xdr:row>15</xdr:row>
      <xdr:rowOff>40822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17E532D-CDB0-554B-FA39-B8A62D61EB9A}"/>
            </a:ext>
          </a:extLst>
        </xdr:cNvPr>
        <xdr:cNvGrpSpPr/>
      </xdr:nvGrpSpPr>
      <xdr:grpSpPr>
        <a:xfrm>
          <a:off x="7456711" y="1629455"/>
          <a:ext cx="4816932" cy="1704296"/>
          <a:chOff x="7463519" y="1398133"/>
          <a:chExt cx="4714875" cy="1704296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ADC58866-BA40-415B-A66C-75A2B4D6A8FA}"/>
              </a:ext>
            </a:extLst>
          </xdr:cNvPr>
          <xdr:cNvGrpSpPr/>
        </xdr:nvGrpSpPr>
        <xdr:grpSpPr>
          <a:xfrm>
            <a:off x="7463519" y="1398133"/>
            <a:ext cx="4714875" cy="1704296"/>
            <a:chOff x="2349103" y="1385887"/>
            <a:chExt cx="4695825" cy="1700213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A7CFB8D-5C01-AC8B-966F-05A38126EA6A}"/>
                </a:ext>
              </a:extLst>
            </xdr:cNvPr>
            <xdr:cNvSpPr/>
          </xdr:nvSpPr>
          <xdr:spPr>
            <a:xfrm>
              <a:off x="2355055" y="1400175"/>
              <a:ext cx="4683919" cy="1685925"/>
            </a:xfrm>
            <a:prstGeom prst="roundRect">
              <a:avLst>
                <a:gd name="adj" fmla="val 886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AC39588E-FD8A-9968-A9A3-9CD61012F666}"/>
                </a:ext>
              </a:extLst>
            </xdr:cNvPr>
            <xdr:cNvSpPr/>
          </xdr:nvSpPr>
          <xdr:spPr>
            <a:xfrm>
              <a:off x="4029075" y="1738313"/>
              <a:ext cx="2843213" cy="1347787"/>
            </a:xfrm>
            <a:prstGeom prst="roundRect">
              <a:avLst>
                <a:gd name="adj" fmla="val 815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BCEE89F-919F-4408-A49A-3E63C13228F7}" type="TxLink">
                <a:rPr lang="en-US" sz="3600" b="1" i="0" u="none" strike="noStrike">
                  <a:solidFill>
                    <a:srgbClr val="22C55E"/>
                  </a:solidFill>
                  <a:latin typeface="Aptos Narrow"/>
                </a:rPr>
                <a:t>R$ 1.140,00</a:t>
              </a:fld>
              <a:endParaRPr lang="en-US" sz="36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1C388E01-1AA4-DF96-BF58-6824787A9D6E}"/>
                </a:ext>
              </a:extLst>
            </xdr:cNvPr>
            <xdr:cNvSpPr/>
          </xdr:nvSpPr>
          <xdr:spPr>
            <a:xfrm>
              <a:off x="2349103" y="1385887"/>
              <a:ext cx="4695825" cy="376238"/>
            </a:xfrm>
            <a:prstGeom prst="round2SameRect">
              <a:avLst>
                <a:gd name="adj1" fmla="val 37301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/>
                <a:t>TOTAL SUBSCRIPTIONS</a:t>
              </a:r>
              <a:r>
                <a:rPr lang="pt-BR" sz="1200" b="1" baseline="0"/>
                <a:t> MINECRAFT SEASON PASS</a:t>
              </a:r>
              <a:endParaRPr lang="pt-BR" sz="1200" b="1"/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EE54E37-25A9-4C35-898E-C2B53454FF64}"/>
              </a:ext>
            </a:extLst>
          </xdr:cNvPr>
          <xdr:cNvGrpSpPr/>
        </xdr:nvGrpSpPr>
        <xdr:grpSpPr>
          <a:xfrm>
            <a:off x="7689774" y="1968953"/>
            <a:ext cx="1549476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8FA19FCF-8DE5-0F75-E9BB-A49F2A0A4B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D4DD15BB-5AF0-2298-9217-2787FCBC41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183696</xdr:colOff>
      <xdr:row>16</xdr:row>
      <xdr:rowOff>139356</xdr:rowOff>
    </xdr:from>
    <xdr:to>
      <xdr:col>18</xdr:col>
      <xdr:colOff>496355</xdr:colOff>
      <xdr:row>33</xdr:row>
      <xdr:rowOff>136072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66ECC07-2899-5C10-7B2E-F070C0ECC578}"/>
            </a:ext>
          </a:extLst>
        </xdr:cNvPr>
        <xdr:cNvGrpSpPr/>
      </xdr:nvGrpSpPr>
      <xdr:grpSpPr>
        <a:xfrm>
          <a:off x="2456089" y="3622785"/>
          <a:ext cx="9932909" cy="3235216"/>
          <a:chOff x="2362715" y="3391463"/>
          <a:chExt cx="9932909" cy="323521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EB4A946-3D39-0B28-C74D-FEF07B78EFF6}"/>
              </a:ext>
            </a:extLst>
          </xdr:cNvPr>
          <xdr:cNvGrpSpPr/>
        </xdr:nvGrpSpPr>
        <xdr:grpSpPr>
          <a:xfrm>
            <a:off x="2367643" y="3401786"/>
            <a:ext cx="9919607" cy="3224893"/>
            <a:chOff x="2226470" y="1488282"/>
            <a:chExt cx="4691062" cy="2952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07C7841-6E6A-6358-4E7B-0FEF2B95E17C}"/>
                </a:ext>
              </a:extLst>
            </xdr:cNvPr>
            <xdr:cNvSpPr/>
          </xdr:nvSpPr>
          <xdr:spPr>
            <a:xfrm>
              <a:off x="2226470" y="1488282"/>
              <a:ext cx="4691062" cy="2952750"/>
            </a:xfrm>
            <a:prstGeom prst="roundRect">
              <a:avLst>
                <a:gd name="adj" fmla="val 537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276F529-8C45-406A-9F87-CE46CB2E8075}"/>
                </a:ext>
              </a:extLst>
            </xdr:cNvPr>
            <xdr:cNvGraphicFramePr>
              <a:graphicFrameLocks/>
            </xdr:cNvGraphicFramePr>
          </xdr:nvGraphicFramePr>
          <xdr:xfrm>
            <a:off x="2297254" y="1578769"/>
            <a:ext cx="4536624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968FB8AC-79DA-404B-ADBA-69E32BE6508C}"/>
              </a:ext>
            </a:extLst>
          </xdr:cNvPr>
          <xdr:cNvSpPr/>
        </xdr:nvSpPr>
        <xdr:spPr>
          <a:xfrm>
            <a:off x="2362715" y="3391463"/>
            <a:ext cx="9932909" cy="377142"/>
          </a:xfrm>
          <a:prstGeom prst="round2SameRect">
            <a:avLst>
              <a:gd name="adj1" fmla="val 3730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SUBSCRIPTIONS</a:t>
            </a:r>
            <a:r>
              <a:rPr lang="pt-BR" sz="1200" b="1" baseline="0"/>
              <a:t>  XBOX GAME PASS</a:t>
            </a:r>
            <a:endParaRPr lang="pt-BR" sz="1200" b="1"/>
          </a:p>
        </xdr:txBody>
      </xdr:sp>
    </xdr:grpSp>
    <xdr:clientData/>
  </xdr:twoCellAnchor>
  <xdr:twoCellAnchor editAs="absolute">
    <xdr:from>
      <xdr:col>0</xdr:col>
      <xdr:colOff>322319</xdr:colOff>
      <xdr:row>0</xdr:row>
      <xdr:rowOff>258536</xdr:rowOff>
    </xdr:from>
    <xdr:to>
      <xdr:col>0</xdr:col>
      <xdr:colOff>1642211</xdr:colOff>
      <xdr:row>6</xdr:row>
      <xdr:rowOff>108857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F39798A1-19B6-48C0-9115-B5AAD3B4E263}"/>
            </a:ext>
          </a:extLst>
        </xdr:cNvPr>
        <xdr:cNvSpPr/>
      </xdr:nvSpPr>
      <xdr:spPr>
        <a:xfrm>
          <a:off x="322319" y="258536"/>
          <a:ext cx="1319892" cy="126546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  <a:effectLst>
          <a:innerShdw blurRad="419100" dist="1524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252157</xdr:colOff>
      <xdr:row>7</xdr:row>
      <xdr:rowOff>95251</xdr:rowOff>
    </xdr:from>
    <xdr:to>
      <xdr:col>0</xdr:col>
      <xdr:colOff>1712374</xdr:colOff>
      <xdr:row>8</xdr:row>
      <xdr:rowOff>95251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55F5D31B-0A45-A033-E0AE-097712F21378}"/>
            </a:ext>
          </a:extLst>
        </xdr:cNvPr>
        <xdr:cNvSpPr/>
      </xdr:nvSpPr>
      <xdr:spPr>
        <a:xfrm>
          <a:off x="252157" y="1632858"/>
          <a:ext cx="1460217" cy="421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Bem-vinda,</a:t>
          </a:r>
          <a:r>
            <a:rPr lang="pt-BR" sz="1400" b="1" baseline="0"/>
            <a:t> Talita</a:t>
          </a:r>
          <a:endParaRPr lang="pt-BR" sz="1100" b="1"/>
        </a:p>
      </xdr:txBody>
    </xdr:sp>
    <xdr:clientData/>
  </xdr:twoCellAnchor>
  <xdr:twoCellAnchor editAs="absolute">
    <xdr:from>
      <xdr:col>2</xdr:col>
      <xdr:colOff>449038</xdr:colOff>
      <xdr:row>1</xdr:row>
      <xdr:rowOff>394607</xdr:rowOff>
    </xdr:from>
    <xdr:to>
      <xdr:col>11</xdr:col>
      <xdr:colOff>258534</xdr:colOff>
      <xdr:row>3</xdr:row>
      <xdr:rowOff>40822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EFE07A9-B5AB-9966-27D1-05AA86A09CB9}"/>
            </a:ext>
          </a:extLst>
        </xdr:cNvPr>
        <xdr:cNvSpPr/>
      </xdr:nvSpPr>
      <xdr:spPr>
        <a:xfrm>
          <a:off x="2721431" y="693964"/>
          <a:ext cx="5320389" cy="421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>
              <a:solidFill>
                <a:schemeClr val="tx1">
                  <a:lumMod val="75000"/>
                  <a:lumOff val="25000"/>
                </a:schemeClr>
              </a:solidFill>
            </a:rPr>
            <a:t>Calculation Period: 01/01/2024 - 31/12/2014 |  Update date: 14/02/2026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tah" refreshedDate="46067.648157523145" createdVersion="8" refreshedVersion="8" minRefreshableVersion="3" recordCount="295" xr:uid="{297A1D02-4D41-4670-BF96-DD3B625891D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620179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58F0D-17FE-493F-BA51-A260A0057D0F}" name="Tabela dinâmica2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5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4" type="button" dataOnly="0" labelOnly="1" outline="0"/>
    </format>
    <format dxfId="51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CB95-CCA2-42F7-8099-5A923FA376AD}" name="tbl_easeasonpass_total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5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D0DCC-F5B6-4886-BFE7-52341FA25E21}" name="tbl_annual_total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4" type="button" dataOnly="0" labelOnly="1" outline="0" axis="axisRow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E0C4E3A-3462-4EEE-A3B8-2E67B1553FDE}" sourceName="Subscription Type">
  <pivotTables>
    <pivotTable tabId="3" name="tbl_annual_total"/>
    <pivotTable tabId="3" name="tbl_easeasonpass_total"/>
    <pivotTable tabId="3" name="Tabela dinâmica2"/>
  </pivotTables>
  <data>
    <tabular pivotCacheId="36201791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3E70A46-20DE-4086-9D2E-FB6501AC33A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78"/>
    <tableColumn id="2" xr3:uid="{53DD39D0-2220-4121-9E9D-4EAA7E151C0F}" name="Name" dataDxfId="77"/>
    <tableColumn id="3" xr3:uid="{4F5FF271-4C57-4BE0-8F2C-F82C8551625C}" name="Plan" dataDxfId="76"/>
    <tableColumn id="4" xr3:uid="{8C17EB93-79B9-4E55-B8F7-BEB82F8253E9}" name="Start Date" dataDxfId="75"/>
    <tableColumn id="5" xr3:uid="{48CEDF9B-1689-482A-A828-5CCE7713264A}" name="Auto Renewal" dataDxfId="74"/>
    <tableColumn id="6" xr3:uid="{78B82374-9AA7-4E38-AE4F-78CDE6C83720}" name="Subscription Price" dataDxfId="73" dataCellStyle="Moeda"/>
    <tableColumn id="7" xr3:uid="{F2433F68-AF33-49D0-B1FB-19A396074EDE}" name="Subscription Type" dataDxfId="72"/>
    <tableColumn id="8" xr3:uid="{FD4D9C95-F6E5-4933-9068-A71FF7DF9343}" name="EA Play Season Pass" dataDxfId="71"/>
    <tableColumn id="13" xr3:uid="{978DD0D2-834E-4CE4-A39B-30976086932F}" name="EA Play Season Pass_x000a_Price" dataDxfId="70" dataCellStyle="Moeda"/>
    <tableColumn id="9" xr3:uid="{6E29F111-C395-4580-9DAD-3407D9E8B1A4}" name="Minecraft Season Pass" dataDxfId="69"/>
    <tableColumn id="10" xr3:uid="{EF544EAA-7F25-4FD5-A10E-8E62804DB9E3}" name="Minecraft Season Pass Price" dataDxfId="68" dataCellStyle="Moeda"/>
    <tableColumn id="11" xr3:uid="{7F6EB64A-1F07-4E48-9F0F-AC7D9DCD26F8}" name="Coupon Value" dataDxfId="67" dataCellStyle="Moeda"/>
    <tableColumn id="12" xr3:uid="{2B04ABC8-DE6F-426E-ADC0-D8AFC68CA58E}" name="Total Value" dataDxfId="6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dimension ref="B3:P21"/>
  <sheetViews>
    <sheetView showGridLines="0" topLeftCell="A6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312</v>
      </c>
      <c r="C5" t="s">
        <v>3</v>
      </c>
      <c r="E5" s="7" t="s">
        <v>311</v>
      </c>
      <c r="F5" t="s">
        <v>2</v>
      </c>
    </row>
    <row r="6" spans="2:16" x14ac:dyDescent="0.25">
      <c r="B6" s="4" t="s">
        <v>313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dimension ref="A1:M296"/>
  <sheetViews>
    <sheetView topLeftCell="A2"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6:E36"/>
  <sheetViews>
    <sheetView showGridLines="0" topLeftCell="A16" workbookViewId="0">
      <selection activeCell="E5" sqref="E5"/>
    </sheetView>
  </sheetViews>
  <sheetFormatPr defaultRowHeight="15" x14ac:dyDescent="0.25"/>
  <cols>
    <col min="1" max="1" width="9.140625" style="12"/>
    <col min="2" max="2" width="18.85546875" style="12" bestFit="1" customWidth="1"/>
    <col min="3" max="3" width="19.28515625" style="12" bestFit="1" customWidth="1"/>
    <col min="4" max="4" width="30.5703125" style="12" bestFit="1" customWidth="1"/>
    <col min="5" max="5" width="12.140625" style="12" bestFit="1" customWidth="1"/>
    <col min="6" max="6" width="19.140625" style="12" bestFit="1" customWidth="1"/>
    <col min="7" max="7" width="27.7109375" style="12" bestFit="1" customWidth="1"/>
    <col min="8" max="8" width="5.42578125" style="12" customWidth="1"/>
    <col min="9" max="9" width="21.140625" style="12" bestFit="1" customWidth="1"/>
    <col min="10" max="11" width="35.140625" style="12" bestFit="1" customWidth="1"/>
    <col min="12" max="15" width="9.7109375" style="12" bestFit="1" customWidth="1"/>
    <col min="16" max="16" width="15.5703125" style="12" bestFit="1" customWidth="1"/>
    <col min="17" max="17" width="12.140625" style="12" bestFit="1" customWidth="1"/>
    <col min="18" max="16384" width="9.140625" style="12"/>
  </cols>
  <sheetData>
    <row r="6" spans="2:3" x14ac:dyDescent="0.25">
      <c r="B6" s="12" t="s">
        <v>318</v>
      </c>
    </row>
    <row r="7" spans="2:3" x14ac:dyDescent="0.25">
      <c r="B7" s="12" t="s">
        <v>317</v>
      </c>
    </row>
    <row r="9" spans="2:3" x14ac:dyDescent="0.25">
      <c r="B9" s="13" t="s">
        <v>11</v>
      </c>
      <c r="C9" s="12" t="s">
        <v>22</v>
      </c>
    </row>
    <row r="11" spans="2:3" x14ac:dyDescent="0.25">
      <c r="B11" s="13" t="s">
        <v>308</v>
      </c>
      <c r="C11" s="12" t="s">
        <v>310</v>
      </c>
    </row>
    <row r="12" spans="2:3" x14ac:dyDescent="0.25">
      <c r="B12" s="14" t="s">
        <v>18</v>
      </c>
      <c r="C12" s="15">
        <v>806</v>
      </c>
    </row>
    <row r="13" spans="2:3" x14ac:dyDescent="0.25">
      <c r="B13" s="14" t="s">
        <v>14</v>
      </c>
      <c r="C13" s="15">
        <v>1502</v>
      </c>
    </row>
    <row r="14" spans="2:3" x14ac:dyDescent="0.25">
      <c r="B14" s="14" t="s">
        <v>309</v>
      </c>
      <c r="C14" s="15">
        <v>2308</v>
      </c>
    </row>
    <row r="17" spans="2:5" x14ac:dyDescent="0.25">
      <c r="B17" s="14" t="s">
        <v>319</v>
      </c>
    </row>
    <row r="19" spans="2:5" x14ac:dyDescent="0.25">
      <c r="B19" s="13" t="s">
        <v>11</v>
      </c>
      <c r="C19" s="12" t="s">
        <v>22</v>
      </c>
    </row>
    <row r="21" spans="2:5" x14ac:dyDescent="0.25">
      <c r="B21" s="13" t="s">
        <v>308</v>
      </c>
      <c r="C21" s="12" t="s">
        <v>320</v>
      </c>
    </row>
    <row r="22" spans="2:5" x14ac:dyDescent="0.25">
      <c r="B22" s="14" t="s">
        <v>17</v>
      </c>
      <c r="C22" s="16">
        <v>0</v>
      </c>
    </row>
    <row r="23" spans="2:5" x14ac:dyDescent="0.25">
      <c r="B23" s="14" t="s">
        <v>21</v>
      </c>
      <c r="C23" s="16">
        <v>0</v>
      </c>
    </row>
    <row r="24" spans="2:5" x14ac:dyDescent="0.25">
      <c r="B24" s="14" t="s">
        <v>13</v>
      </c>
      <c r="C24" s="16">
        <v>990</v>
      </c>
    </row>
    <row r="25" spans="2:5" x14ac:dyDescent="0.25">
      <c r="B25" s="14" t="s">
        <v>309</v>
      </c>
      <c r="C25" s="16">
        <v>990</v>
      </c>
      <c r="E25" s="17">
        <f>GETPIVOTDATA("EA Play Season Pass
Price",$B$21)</f>
        <v>990</v>
      </c>
    </row>
    <row r="26" spans="2:5" x14ac:dyDescent="0.25">
      <c r="B26"/>
      <c r="C26"/>
    </row>
    <row r="27" spans="2:5" x14ac:dyDescent="0.25">
      <c r="B27"/>
      <c r="C27"/>
    </row>
    <row r="28" spans="2:5" x14ac:dyDescent="0.25">
      <c r="B28" s="14" t="s">
        <v>321</v>
      </c>
      <c r="C28"/>
    </row>
    <row r="30" spans="2:5" x14ac:dyDescent="0.25">
      <c r="B30" s="13" t="s">
        <v>11</v>
      </c>
      <c r="C30" s="12" t="s">
        <v>22</v>
      </c>
    </row>
    <row r="32" spans="2:5" x14ac:dyDescent="0.25">
      <c r="B32" s="13" t="s">
        <v>308</v>
      </c>
      <c r="C32" s="12" t="s">
        <v>322</v>
      </c>
    </row>
    <row r="33" spans="2:5" x14ac:dyDescent="0.25">
      <c r="B33" s="14" t="s">
        <v>17</v>
      </c>
      <c r="C33" s="15">
        <v>0</v>
      </c>
    </row>
    <row r="34" spans="2:5" x14ac:dyDescent="0.25">
      <c r="B34" s="14" t="s">
        <v>21</v>
      </c>
      <c r="C34" s="15">
        <v>480</v>
      </c>
    </row>
    <row r="35" spans="2:5" x14ac:dyDescent="0.25">
      <c r="B35" s="14" t="s">
        <v>13</v>
      </c>
      <c r="C35" s="15">
        <v>660</v>
      </c>
    </row>
    <row r="36" spans="2:5" x14ac:dyDescent="0.25">
      <c r="B36" s="14" t="s">
        <v>309</v>
      </c>
      <c r="C36" s="15">
        <v>1140</v>
      </c>
      <c r="E36" s="17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51"/>
  <sheetViews>
    <sheetView showGridLines="0" tabSelected="1" zoomScale="70" zoomScaleNormal="70" workbookViewId="0">
      <selection activeCell="T10" sqref="T10"/>
    </sheetView>
  </sheetViews>
  <sheetFormatPr defaultColWidth="0" defaultRowHeight="15" zeroHeight="1" x14ac:dyDescent="0.25"/>
  <cols>
    <col min="1" max="1" width="30.42578125" style="21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20" width="6.28515625" customWidth="1"/>
    <col min="21" max="16384" width="9.140625" hidden="1"/>
  </cols>
  <sheetData>
    <row r="1" spans="1:19" ht="23.25" customHeight="1" x14ac:dyDescent="0.25"/>
    <row r="2" spans="1:19" ht="37.5" customHeight="1" thickBot="1" x14ac:dyDescent="0.35">
      <c r="C2" s="18" t="s">
        <v>316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</row>
    <row r="3" spans="1:19" ht="23.25" customHeight="1" thickTop="1" x14ac:dyDescent="0.25"/>
    <row r="4" spans="1:19" s="7" customFormat="1" ht="8.25" customHeight="1" x14ac:dyDescent="0.25">
      <c r="A4" s="21"/>
    </row>
    <row r="5" spans="1:19" s="7" customFormat="1" ht="7.5" customHeight="1" x14ac:dyDescent="0.25">
      <c r="A5" s="21"/>
    </row>
    <row r="6" spans="1:19" s="7" customFormat="1" ht="10.5" customHeight="1" x14ac:dyDescent="0.25">
      <c r="A6" s="21"/>
    </row>
    <row r="7" spans="1:19" s="7" customFormat="1" ht="9.75" customHeight="1" x14ac:dyDescent="0.25">
      <c r="A7" s="21"/>
    </row>
    <row r="8" spans="1:19" s="7" customFormat="1" ht="33" customHeight="1" x14ac:dyDescent="0.25">
      <c r="A8" s="21"/>
    </row>
    <row r="9" spans="1:19" s="7" customFormat="1" x14ac:dyDescent="0.25">
      <c r="A9" s="21"/>
    </row>
    <row r="10" spans="1:19" s="7" customFormat="1" x14ac:dyDescent="0.25">
      <c r="A10" s="21"/>
    </row>
    <row r="11" spans="1:19" s="7" customFormat="1" x14ac:dyDescent="0.25">
      <c r="A11" s="21"/>
    </row>
    <row r="12" spans="1:19" s="7" customFormat="1" x14ac:dyDescent="0.25">
      <c r="A12" s="21"/>
    </row>
    <row r="13" spans="1:19" s="7" customFormat="1" x14ac:dyDescent="0.25">
      <c r="A13" s="21"/>
    </row>
    <row r="14" spans="1:19" s="7" customFormat="1" x14ac:dyDescent="0.25">
      <c r="A14" s="21"/>
    </row>
    <row r="15" spans="1:19" s="7" customFormat="1" x14ac:dyDescent="0.25">
      <c r="A15" s="21"/>
    </row>
    <row r="16" spans="1:19" s="7" customFormat="1" x14ac:dyDescent="0.25">
      <c r="A16" s="21"/>
    </row>
    <row r="17" spans="1:1" s="7" customFormat="1" x14ac:dyDescent="0.25">
      <c r="A17" s="21"/>
    </row>
    <row r="18" spans="1:1" s="7" customFormat="1" x14ac:dyDescent="0.25">
      <c r="A18" s="21"/>
    </row>
    <row r="19" spans="1:1" s="7" customFormat="1" x14ac:dyDescent="0.25">
      <c r="A19" s="21"/>
    </row>
    <row r="20" spans="1:1" s="7" customFormat="1" x14ac:dyDescent="0.25">
      <c r="A20" s="21"/>
    </row>
    <row r="21" spans="1:1" s="7" customFormat="1" x14ac:dyDescent="0.25">
      <c r="A21" s="21"/>
    </row>
    <row r="22" spans="1:1" s="7" customFormat="1" x14ac:dyDescent="0.25">
      <c r="A22" s="21"/>
    </row>
    <row r="23" spans="1:1" s="7" customFormat="1" x14ac:dyDescent="0.25">
      <c r="A23" s="21"/>
    </row>
    <row r="24" spans="1:1" s="7" customFormat="1" x14ac:dyDescent="0.25">
      <c r="A24" s="21"/>
    </row>
    <row r="25" spans="1:1" s="7" customFormat="1" x14ac:dyDescent="0.25">
      <c r="A25" s="21"/>
    </row>
    <row r="26" spans="1:1" s="7" customFormat="1" x14ac:dyDescent="0.25">
      <c r="A26" s="21"/>
    </row>
    <row r="27" spans="1:1" s="7" customFormat="1" x14ac:dyDescent="0.25">
      <c r="A27" s="21"/>
    </row>
    <row r="28" spans="1:1" s="7" customFormat="1" x14ac:dyDescent="0.25">
      <c r="A28" s="21"/>
    </row>
    <row r="29" spans="1:1" s="7" customFormat="1" x14ac:dyDescent="0.25">
      <c r="A29" s="21"/>
    </row>
    <row r="30" spans="1:1" s="7" customFormat="1" x14ac:dyDescent="0.25">
      <c r="A30" s="21"/>
    </row>
    <row r="31" spans="1:1" s="7" customFormat="1" x14ac:dyDescent="0.25">
      <c r="A31" s="21"/>
    </row>
    <row r="32" spans="1:1" s="7" customFormat="1" x14ac:dyDescent="0.25">
      <c r="A32" s="21"/>
    </row>
    <row r="33" spans="1:1" s="7" customFormat="1" x14ac:dyDescent="0.25">
      <c r="A33" s="21"/>
    </row>
    <row r="34" spans="1:1" s="7" customFormat="1" x14ac:dyDescent="0.25">
      <c r="A34" s="21"/>
    </row>
    <row r="35" spans="1:1" s="7" customFormat="1" x14ac:dyDescent="0.25">
      <c r="A35" s="21"/>
    </row>
    <row r="36" spans="1:1" s="7" customFormat="1" hidden="1" x14ac:dyDescent="0.25">
      <c r="A36" s="21"/>
    </row>
    <row r="37" spans="1:1" s="7" customFormat="1" hidden="1" x14ac:dyDescent="0.25">
      <c r="A37" s="21"/>
    </row>
    <row r="38" spans="1:1" s="7" customFormat="1" hidden="1" x14ac:dyDescent="0.25">
      <c r="A38" s="21"/>
    </row>
    <row r="39" spans="1:1" s="7" customFormat="1" hidden="1" x14ac:dyDescent="0.25">
      <c r="A39" s="21"/>
    </row>
    <row r="40" spans="1:1" s="7" customFormat="1" hidden="1" x14ac:dyDescent="0.25">
      <c r="A40" s="21"/>
    </row>
    <row r="41" spans="1:1" s="7" customFormat="1" hidden="1" x14ac:dyDescent="0.25">
      <c r="A41" s="21"/>
    </row>
    <row r="42" spans="1:1" s="7" customFormat="1" hidden="1" x14ac:dyDescent="0.25">
      <c r="A42" s="21"/>
    </row>
    <row r="43" spans="1:1" s="7" customFormat="1" hidden="1" x14ac:dyDescent="0.25">
      <c r="A43" s="21"/>
    </row>
    <row r="44" spans="1:1" s="7" customFormat="1" hidden="1" x14ac:dyDescent="0.25">
      <c r="A44" s="21"/>
    </row>
    <row r="45" spans="1:1" s="7" customFormat="1" hidden="1" x14ac:dyDescent="0.25">
      <c r="A45" s="21"/>
    </row>
    <row r="46" spans="1:1" s="7" customFormat="1" hidden="1" x14ac:dyDescent="0.25">
      <c r="A46" s="21"/>
    </row>
    <row r="47" spans="1:1" s="7" customFormat="1" hidden="1" x14ac:dyDescent="0.25">
      <c r="A47" s="21"/>
    </row>
    <row r="48" spans="1:1" s="7" customFormat="1" hidden="1" x14ac:dyDescent="0.25">
      <c r="A48" s="21"/>
    </row>
    <row r="49" spans="1:1" s="7" customFormat="1" hidden="1" x14ac:dyDescent="0.25">
      <c r="A49" s="21"/>
    </row>
    <row r="50" spans="1:1" s="7" customFormat="1" hidden="1" x14ac:dyDescent="0.25">
      <c r="A50" s="21"/>
    </row>
    <row r="51" spans="1:1" s="7" customFormat="1" hidden="1" x14ac:dyDescent="0.25">
      <c r="A51" s="21"/>
    </row>
    <row r="52" spans="1:1" s="7" customFormat="1" hidden="1" x14ac:dyDescent="0.25">
      <c r="A52" s="21"/>
    </row>
    <row r="53" spans="1:1" s="7" customFormat="1" hidden="1" x14ac:dyDescent="0.25">
      <c r="A53" s="21"/>
    </row>
    <row r="54" spans="1:1" s="7" customFormat="1" hidden="1" x14ac:dyDescent="0.25">
      <c r="A54" s="21"/>
    </row>
    <row r="55" spans="1:1" s="7" customFormat="1" hidden="1" x14ac:dyDescent="0.25">
      <c r="A55" s="21"/>
    </row>
    <row r="56" spans="1:1" s="7" customFormat="1" hidden="1" x14ac:dyDescent="0.25">
      <c r="A56" s="21"/>
    </row>
    <row r="57" spans="1:1" s="7" customFormat="1" hidden="1" x14ac:dyDescent="0.25">
      <c r="A57" s="21"/>
    </row>
    <row r="58" spans="1:1" s="7" customFormat="1" hidden="1" x14ac:dyDescent="0.25">
      <c r="A58" s="21"/>
    </row>
    <row r="59" spans="1:1" s="7" customFormat="1" hidden="1" x14ac:dyDescent="0.25">
      <c r="A59" s="21"/>
    </row>
    <row r="60" spans="1:1" s="7" customFormat="1" hidden="1" x14ac:dyDescent="0.25">
      <c r="A60" s="21"/>
    </row>
    <row r="61" spans="1:1" s="7" customFormat="1" hidden="1" x14ac:dyDescent="0.25">
      <c r="A61" s="21"/>
    </row>
    <row r="62" spans="1:1" s="7" customFormat="1" hidden="1" x14ac:dyDescent="0.25">
      <c r="A62" s="21"/>
    </row>
    <row r="63" spans="1:1" s="7" customFormat="1" hidden="1" x14ac:dyDescent="0.25">
      <c r="A63" s="21"/>
    </row>
    <row r="64" spans="1:1" s="7" customFormat="1" hidden="1" x14ac:dyDescent="0.25">
      <c r="A64" s="21"/>
    </row>
    <row r="65" spans="1:1" s="7" customFormat="1" hidden="1" x14ac:dyDescent="0.25">
      <c r="A65" s="21"/>
    </row>
    <row r="66" spans="1:1" s="7" customFormat="1" hidden="1" x14ac:dyDescent="0.25">
      <c r="A66" s="21"/>
    </row>
    <row r="67" spans="1:1" s="7" customFormat="1" hidden="1" x14ac:dyDescent="0.25">
      <c r="A67" s="21"/>
    </row>
    <row r="68" spans="1:1" s="7" customFormat="1" hidden="1" x14ac:dyDescent="0.25">
      <c r="A68" s="21"/>
    </row>
    <row r="69" spans="1:1" s="7" customFormat="1" hidden="1" x14ac:dyDescent="0.25">
      <c r="A69" s="21"/>
    </row>
    <row r="70" spans="1:1" s="7" customFormat="1" hidden="1" x14ac:dyDescent="0.25">
      <c r="A70" s="21"/>
    </row>
    <row r="71" spans="1:1" s="7" customFormat="1" hidden="1" x14ac:dyDescent="0.25">
      <c r="A71" s="21"/>
    </row>
    <row r="72" spans="1:1" s="7" customFormat="1" hidden="1" x14ac:dyDescent="0.25">
      <c r="A72" s="21"/>
    </row>
    <row r="73" spans="1:1" s="7" customFormat="1" hidden="1" x14ac:dyDescent="0.25">
      <c r="A73" s="21"/>
    </row>
    <row r="74" spans="1:1" s="7" customFormat="1" hidden="1" x14ac:dyDescent="0.25">
      <c r="A74" s="21"/>
    </row>
    <row r="75" spans="1:1" s="7" customFormat="1" hidden="1" x14ac:dyDescent="0.25">
      <c r="A75" s="21"/>
    </row>
    <row r="76" spans="1:1" s="7" customFormat="1" hidden="1" x14ac:dyDescent="0.25">
      <c r="A76" s="21"/>
    </row>
    <row r="77" spans="1:1" s="7" customFormat="1" hidden="1" x14ac:dyDescent="0.25">
      <c r="A77" s="21"/>
    </row>
    <row r="78" spans="1:1" s="7" customFormat="1" hidden="1" x14ac:dyDescent="0.25">
      <c r="A78" s="21"/>
    </row>
    <row r="79" spans="1:1" s="7" customFormat="1" hidden="1" x14ac:dyDescent="0.25">
      <c r="A79" s="21"/>
    </row>
    <row r="80" spans="1:1" s="7" customFormat="1" hidden="1" x14ac:dyDescent="0.25">
      <c r="A80" s="21"/>
    </row>
    <row r="81" spans="1:1" s="7" customFormat="1" hidden="1" x14ac:dyDescent="0.25">
      <c r="A81" s="21"/>
    </row>
    <row r="82" spans="1:1" s="7" customFormat="1" hidden="1" x14ac:dyDescent="0.25">
      <c r="A82" s="21"/>
    </row>
    <row r="83" spans="1:1" s="7" customFormat="1" hidden="1" x14ac:dyDescent="0.25">
      <c r="A83" s="21"/>
    </row>
    <row r="84" spans="1:1" s="7" customFormat="1" hidden="1" x14ac:dyDescent="0.25">
      <c r="A84" s="21"/>
    </row>
    <row r="85" spans="1:1" s="7" customFormat="1" hidden="1" x14ac:dyDescent="0.25">
      <c r="A85" s="21"/>
    </row>
    <row r="86" spans="1:1" s="7" customFormat="1" hidden="1" x14ac:dyDescent="0.25">
      <c r="A86" s="21"/>
    </row>
    <row r="87" spans="1:1" s="7" customFormat="1" hidden="1" x14ac:dyDescent="0.25">
      <c r="A87" s="21"/>
    </row>
    <row r="88" spans="1:1" s="7" customFormat="1" hidden="1" x14ac:dyDescent="0.25">
      <c r="A88" s="21"/>
    </row>
    <row r="89" spans="1:1" s="7" customFormat="1" hidden="1" x14ac:dyDescent="0.25">
      <c r="A89" s="21"/>
    </row>
    <row r="90" spans="1:1" s="7" customFormat="1" hidden="1" x14ac:dyDescent="0.25">
      <c r="A90" s="21"/>
    </row>
    <row r="91" spans="1:1" s="7" customFormat="1" hidden="1" x14ac:dyDescent="0.25">
      <c r="A91" s="21"/>
    </row>
    <row r="92" spans="1:1" s="7" customFormat="1" hidden="1" x14ac:dyDescent="0.25">
      <c r="A92" s="21"/>
    </row>
    <row r="93" spans="1:1" s="7" customFormat="1" hidden="1" x14ac:dyDescent="0.25">
      <c r="A93" s="21"/>
    </row>
    <row r="94" spans="1:1" s="7" customFormat="1" hidden="1" x14ac:dyDescent="0.25">
      <c r="A94" s="21"/>
    </row>
    <row r="95" spans="1:1" s="7" customFormat="1" hidden="1" x14ac:dyDescent="0.25">
      <c r="A95" s="21"/>
    </row>
    <row r="96" spans="1:1" s="7" customFormat="1" hidden="1" x14ac:dyDescent="0.25">
      <c r="A96" s="21"/>
    </row>
    <row r="97" spans="1:1" s="7" customFormat="1" hidden="1" x14ac:dyDescent="0.25">
      <c r="A97" s="21"/>
    </row>
    <row r="98" spans="1:1" s="7" customFormat="1" hidden="1" x14ac:dyDescent="0.25">
      <c r="A98" s="21"/>
    </row>
    <row r="99" spans="1:1" s="7" customFormat="1" hidden="1" x14ac:dyDescent="0.25">
      <c r="A99" s="21"/>
    </row>
    <row r="100" spans="1:1" s="7" customFormat="1" hidden="1" x14ac:dyDescent="0.25">
      <c r="A100" s="21"/>
    </row>
    <row r="101" spans="1:1" s="7" customFormat="1" hidden="1" x14ac:dyDescent="0.25">
      <c r="A101" s="21"/>
    </row>
    <row r="102" spans="1:1" s="7" customFormat="1" hidden="1" x14ac:dyDescent="0.25">
      <c r="A102" s="21"/>
    </row>
    <row r="103" spans="1:1" s="7" customFormat="1" hidden="1" x14ac:dyDescent="0.25">
      <c r="A103" s="21"/>
    </row>
    <row r="104" spans="1:1" s="7" customFormat="1" hidden="1" x14ac:dyDescent="0.25">
      <c r="A104" s="21"/>
    </row>
    <row r="105" spans="1:1" s="7" customFormat="1" hidden="1" x14ac:dyDescent="0.25">
      <c r="A105" s="21"/>
    </row>
    <row r="106" spans="1:1" s="7" customFormat="1" hidden="1" x14ac:dyDescent="0.25">
      <c r="A106" s="21"/>
    </row>
    <row r="107" spans="1:1" s="7" customFormat="1" hidden="1" x14ac:dyDescent="0.25">
      <c r="A107" s="21"/>
    </row>
    <row r="108" spans="1:1" s="7" customFormat="1" hidden="1" x14ac:dyDescent="0.25">
      <c r="A108" s="21"/>
    </row>
    <row r="109" spans="1:1" s="7" customFormat="1" hidden="1" x14ac:dyDescent="0.25">
      <c r="A109" s="21"/>
    </row>
    <row r="110" spans="1:1" s="7" customFormat="1" hidden="1" x14ac:dyDescent="0.25">
      <c r="A110" s="21"/>
    </row>
    <row r="111" spans="1:1" s="7" customFormat="1" hidden="1" x14ac:dyDescent="0.25">
      <c r="A111" s="21"/>
    </row>
    <row r="112" spans="1:1" s="7" customFormat="1" hidden="1" x14ac:dyDescent="0.25">
      <c r="A112" s="21"/>
    </row>
    <row r="113" spans="1:1" s="7" customFormat="1" hidden="1" x14ac:dyDescent="0.25">
      <c r="A113" s="21"/>
    </row>
    <row r="114" spans="1:1" s="7" customFormat="1" hidden="1" x14ac:dyDescent="0.25">
      <c r="A114" s="21"/>
    </row>
    <row r="115" spans="1:1" s="7" customFormat="1" hidden="1" x14ac:dyDescent="0.25">
      <c r="A115" s="21"/>
    </row>
    <row r="116" spans="1:1" s="7" customFormat="1" hidden="1" x14ac:dyDescent="0.25">
      <c r="A116" s="21"/>
    </row>
    <row r="117" spans="1:1" s="7" customFormat="1" hidden="1" x14ac:dyDescent="0.25">
      <c r="A117" s="21"/>
    </row>
    <row r="118" spans="1:1" s="7" customFormat="1" hidden="1" x14ac:dyDescent="0.25">
      <c r="A118" s="21"/>
    </row>
    <row r="119" spans="1:1" s="7" customFormat="1" hidden="1" x14ac:dyDescent="0.25">
      <c r="A119" s="21"/>
    </row>
    <row r="120" spans="1:1" s="7" customFormat="1" hidden="1" x14ac:dyDescent="0.25">
      <c r="A120" s="21"/>
    </row>
    <row r="121" spans="1:1" s="7" customFormat="1" hidden="1" x14ac:dyDescent="0.25">
      <c r="A121" s="21"/>
    </row>
    <row r="122" spans="1:1" s="7" customFormat="1" hidden="1" x14ac:dyDescent="0.25">
      <c r="A122" s="21"/>
    </row>
    <row r="123" spans="1:1" s="7" customFormat="1" hidden="1" x14ac:dyDescent="0.25">
      <c r="A123" s="21"/>
    </row>
    <row r="124" spans="1:1" s="7" customFormat="1" hidden="1" x14ac:dyDescent="0.25">
      <c r="A124" s="21"/>
    </row>
    <row r="125" spans="1:1" s="7" customFormat="1" hidden="1" x14ac:dyDescent="0.25">
      <c r="A125" s="21"/>
    </row>
    <row r="126" spans="1:1" s="7" customFormat="1" hidden="1" x14ac:dyDescent="0.25">
      <c r="A126" s="21"/>
    </row>
    <row r="127" spans="1:1" s="7" customFormat="1" hidden="1" x14ac:dyDescent="0.25">
      <c r="A127" s="21"/>
    </row>
    <row r="128" spans="1:1" s="7" customFormat="1" hidden="1" x14ac:dyDescent="0.25">
      <c r="A128" s="21"/>
    </row>
    <row r="129" spans="1:1" s="7" customFormat="1" hidden="1" x14ac:dyDescent="0.25">
      <c r="A129" s="21"/>
    </row>
    <row r="130" spans="1:1" s="7" customFormat="1" hidden="1" x14ac:dyDescent="0.25">
      <c r="A130" s="21"/>
    </row>
    <row r="131" spans="1:1" s="7" customFormat="1" hidden="1" x14ac:dyDescent="0.25">
      <c r="A131" s="21"/>
    </row>
    <row r="132" spans="1:1" s="7" customFormat="1" hidden="1" x14ac:dyDescent="0.25">
      <c r="A132" s="21"/>
    </row>
    <row r="133" spans="1:1" s="7" customFormat="1" hidden="1" x14ac:dyDescent="0.25">
      <c r="A133" s="21"/>
    </row>
    <row r="134" spans="1:1" s="7" customFormat="1" hidden="1" x14ac:dyDescent="0.25">
      <c r="A134" s="21"/>
    </row>
    <row r="135" spans="1:1" s="7" customFormat="1" hidden="1" x14ac:dyDescent="0.25">
      <c r="A135" s="21"/>
    </row>
    <row r="136" spans="1:1" s="7" customFormat="1" hidden="1" x14ac:dyDescent="0.25">
      <c r="A136" s="21"/>
    </row>
    <row r="137" spans="1:1" s="7" customFormat="1" hidden="1" x14ac:dyDescent="0.25">
      <c r="A137" s="21"/>
    </row>
    <row r="138" spans="1:1" s="7" customFormat="1" hidden="1" x14ac:dyDescent="0.25">
      <c r="A138" s="21"/>
    </row>
    <row r="139" spans="1:1" s="7" customFormat="1" hidden="1" x14ac:dyDescent="0.25">
      <c r="A139" s="21"/>
    </row>
    <row r="140" spans="1:1" s="7" customFormat="1" hidden="1" x14ac:dyDescent="0.25">
      <c r="A140" s="21"/>
    </row>
    <row r="141" spans="1:1" s="7" customFormat="1" hidden="1" x14ac:dyDescent="0.25">
      <c r="A141" s="21"/>
    </row>
    <row r="142" spans="1:1" s="7" customFormat="1" hidden="1" x14ac:dyDescent="0.25">
      <c r="A142" s="21"/>
    </row>
    <row r="143" spans="1:1" s="7" customFormat="1" hidden="1" x14ac:dyDescent="0.25">
      <c r="A143" s="21"/>
    </row>
    <row r="144" spans="1:1" s="7" customFormat="1" hidden="1" x14ac:dyDescent="0.25">
      <c r="A144" s="21"/>
    </row>
    <row r="145" spans="1:1" s="7" customFormat="1" hidden="1" x14ac:dyDescent="0.25">
      <c r="A145" s="21"/>
    </row>
    <row r="146" spans="1:1" s="7" customFormat="1" hidden="1" x14ac:dyDescent="0.25">
      <c r="A146" s="21"/>
    </row>
    <row r="147" spans="1:1" s="7" customFormat="1" hidden="1" x14ac:dyDescent="0.25">
      <c r="A147" s="21"/>
    </row>
    <row r="148" spans="1:1" s="7" customFormat="1" hidden="1" x14ac:dyDescent="0.25">
      <c r="A148" s="21"/>
    </row>
    <row r="149" spans="1:1" s="7" customFormat="1" hidden="1" x14ac:dyDescent="0.25">
      <c r="A149" s="21"/>
    </row>
    <row r="150" spans="1:1" s="7" customFormat="1" hidden="1" x14ac:dyDescent="0.25">
      <c r="A150" s="21"/>
    </row>
    <row r="151" spans="1:1" s="7" customFormat="1" hidden="1" x14ac:dyDescent="0.25">
      <c r="A151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19483571-f922-4e8e-9c1c-26f0a2252132"/>
    <ds:schemaRef ds:uri="http://schemas.microsoft.com/office/infopath/2007/PartnerControls"/>
    <ds:schemaRef ds:uri="http://schemas.openxmlformats.org/package/2006/metadata/core-properties"/>
    <ds:schemaRef ds:uri="851b35d3-0456-4d6a-bc2f-da927e91d15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Talita Velasco</cp:lastModifiedBy>
  <dcterms:created xsi:type="dcterms:W3CDTF">2024-12-19T13:13:10Z</dcterms:created>
  <dcterms:modified xsi:type="dcterms:W3CDTF">2026-02-15T02:09:11Z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